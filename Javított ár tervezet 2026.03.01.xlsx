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"/>
    </mc:Choice>
  </mc:AlternateContent>
  <xr:revisionPtr revIDLastSave="3" documentId="8_{AF20758D-3B91-4A4A-9B1D-508D25F2E2FE}" xr6:coauthVersionLast="47" xr6:coauthVersionMax="47" xr10:uidLastSave="{53135610-D7C4-41E8-A497-8C4D0CFAE658}"/>
  <bookViews>
    <workbookView xWindow="-108" yWindow="-108" windowWidth="23256" windowHeight="12456" xr2:uid="{9A4E7F6D-FF73-4FBA-8320-FC974226BA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G6" i="1"/>
  <c r="E6" i="1"/>
  <c r="K10" i="1"/>
  <c r="E11" i="1"/>
  <c r="G11" i="1" s="1"/>
  <c r="E13" i="1"/>
  <c r="G13" i="1" s="1"/>
  <c r="E14" i="1"/>
  <c r="G14" i="1" s="1"/>
  <c r="E4" i="1"/>
  <c r="G4" i="1" s="1"/>
  <c r="E5" i="1"/>
  <c r="G5" i="1" s="1"/>
  <c r="E7" i="1"/>
  <c r="G7" i="1" s="1"/>
  <c r="E8" i="1"/>
  <c r="G8" i="1" s="1"/>
  <c r="E10" i="1"/>
  <c r="G10" i="1" s="1"/>
  <c r="E12" i="1"/>
  <c r="G12" i="1" s="1"/>
  <c r="E15" i="1"/>
  <c r="G15" i="1" s="1"/>
  <c r="E16" i="1"/>
  <c r="G16" i="1" s="1"/>
  <c r="E17" i="1"/>
  <c r="G17" i="1" s="1"/>
  <c r="E3" i="1"/>
  <c r="G3" i="1" s="1"/>
  <c r="E2" i="1"/>
  <c r="G2" i="1" s="1"/>
</calcChain>
</file>

<file path=xl/sharedStrings.xml><?xml version="1.0" encoding="utf-8"?>
<sst xmlns="http://schemas.openxmlformats.org/spreadsheetml/2006/main" count="45" uniqueCount="43">
  <si>
    <t>NÉV</t>
  </si>
  <si>
    <t xml:space="preserve">WRT300N </t>
  </si>
  <si>
    <t>MINTAVÉTELI</t>
  </si>
  <si>
    <t>KÖZPONT</t>
  </si>
  <si>
    <t xml:space="preserve">FEJLESZTÉSI </t>
  </si>
  <si>
    <t>ÖSSZES DARAB</t>
  </si>
  <si>
    <t>2960 SWITCH</t>
  </si>
  <si>
    <t>WLC-3504</t>
  </si>
  <si>
    <t>3702i LAP</t>
  </si>
  <si>
    <t>LAPTOP</t>
  </si>
  <si>
    <t>PC</t>
  </si>
  <si>
    <t>1941 ROUTER</t>
  </si>
  <si>
    <t>WINDOWS SERVER</t>
  </si>
  <si>
    <t xml:space="preserve">PRINTER </t>
  </si>
  <si>
    <t>ISR 4331 ROUTER</t>
  </si>
  <si>
    <t>3650-24PS M.S</t>
  </si>
  <si>
    <t>LAP-PT LAP</t>
  </si>
  <si>
    <t>DARAB ÁR</t>
  </si>
  <si>
    <t>TELJES ÁR</t>
  </si>
  <si>
    <t>UTP CAT6A  KÁBEL</t>
  </si>
  <si>
    <t>1500M</t>
  </si>
  <si>
    <t>UTP CAT6 CO KÁBEL</t>
  </si>
  <si>
    <t>30M</t>
  </si>
  <si>
    <t>60M</t>
  </si>
  <si>
    <t>670M</t>
  </si>
  <si>
    <t>430M</t>
  </si>
  <si>
    <t>400M</t>
  </si>
  <si>
    <t>200M</t>
  </si>
  <si>
    <t>130M</t>
  </si>
  <si>
    <t>70M</t>
  </si>
  <si>
    <t>SERIAL KÁBEL</t>
  </si>
  <si>
    <t>MUNKADÍJ</t>
  </si>
  <si>
    <t>ÁRON</t>
  </si>
  <si>
    <t>BÁLINT</t>
  </si>
  <si>
    <t>GERGŐ</t>
  </si>
  <si>
    <t>LINUX SERVER</t>
  </si>
  <si>
    <t>Bérelt vonal évente</t>
  </si>
  <si>
    <t>12 hónap</t>
  </si>
  <si>
    <r>
      <rPr>
        <b/>
        <sz val="11"/>
        <color theme="1"/>
        <rFont val="Aptos Narrow"/>
        <family val="2"/>
        <scheme val="minor"/>
      </rPr>
      <t>ÖSSZESEN</t>
    </r>
    <r>
      <rPr>
        <sz val="11"/>
        <color theme="1"/>
        <rFont val="Aptos Narrow"/>
        <family val="2"/>
        <charset val="238"/>
        <scheme val="minor"/>
      </rPr>
      <t>:</t>
    </r>
  </si>
  <si>
    <r>
      <rPr>
        <b/>
        <sz val="11"/>
        <color theme="1"/>
        <rFont val="Aptos Narrow"/>
        <family val="2"/>
        <scheme val="minor"/>
      </rPr>
      <t>TELJES ÖSSZEG</t>
    </r>
    <r>
      <rPr>
        <sz val="11"/>
        <color theme="1"/>
        <rFont val="Aptos Narrow"/>
        <family val="2"/>
        <charset val="238"/>
        <scheme val="minor"/>
      </rPr>
      <t>:</t>
    </r>
  </si>
  <si>
    <t>2901 Router</t>
  </si>
  <si>
    <t>500M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</si>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</sst>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[$€-1]_-;\-* #,##0\ [$€-1]_-;_-* &quot;-&quot;??\ [$€-1]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3" xfId="1" applyNumberFormat="1" applyFont="1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1" fontId="0" fillId="0" borderId="8" xfId="0" applyNumberFormat="1" applyBorder="1"/>
    <xf numFmtId="164" fontId="3" fillId="0" borderId="13" xfId="0" applyNumberFormat="1" applyFont="1" applyBorder="1"/>
    <xf numFmtId="0" fontId="0" fillId="0" borderId="17" xfId="0" applyBorder="1"/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164" fontId="0" fillId="0" borderId="20" xfId="0" applyNumberFormat="1" applyBorder="1"/>
    <xf numFmtId="164" fontId="0" fillId="0" borderId="21" xfId="0" applyNumberForma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4" fontId="0" fillId="0" borderId="3" xfId="0" applyNumberFormat="1" applyBorder="1"/>
    <xf numFmtId="164" fontId="0" fillId="0" borderId="14" xfId="0" applyNumberFormat="1" applyBorder="1"/>
    <xf numFmtId="0" fontId="0" fillId="0" borderId="8" xfId="0" applyBorder="1"/>
    <xf numFmtId="164" fontId="0" fillId="0" borderId="8" xfId="0" applyNumberFormat="1" applyBorder="1"/>
    <xf numFmtId="164" fontId="0" fillId="0" borderId="11" xfId="0" applyNumberFormat="1" applyBorder="1"/>
    <xf numFmtId="0" fontId="5" fillId="0" borderId="9" xfId="0" applyFont="1" applyBorder="1"/>
    <xf numFmtId="164" fontId="4" fillId="0" borderId="1" xfId="0" applyNumberFormat="1" applyFont="1" applyBorder="1"/>
    <xf numFmtId="164" fontId="0" fillId="0" borderId="24" xfId="0" applyNumberFormat="1" applyBorder="1"/>
    <xf numFmtId="0" fontId="0" fillId="2" borderId="22" xfId="0" applyFill="1" applyBorder="1"/>
    <xf numFmtId="0" fontId="0" fillId="2" borderId="25" xfId="0" applyFill="1" applyBorder="1"/>
    <xf numFmtId="0" fontId="0" fillId="2" borderId="23" xfId="0" applyFill="1" applyBorder="1"/>
    <xf numFmtId="0" fontId="0" fillId="2" borderId="26" xfId="0" applyFill="1" applyBorder="1"/>
    <xf numFmtId="164" fontId="0" fillId="0" borderId="27" xfId="0" applyNumberFormat="1" applyBorder="1"/>
    <xf numFmtId="0" fontId="0" fillId="0" borderId="10" xfId="0" applyBorder="1"/>
    <xf numFmtId="164" fontId="0" fillId="0" borderId="28" xfId="0" applyNumberForma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5" fillId="0" borderId="1" xfId="0" applyFont="1" applyBorder="1"/>
    <xf numFmtId="0" fontId="0" fillId="0" borderId="1" xfId="0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746-CA51-4673-866A-502A49883961}">
  <dimension ref="A1:O24"/>
  <sheetViews>
    <sheetView tabSelected="1" topLeftCell="E1" workbookViewId="0">
      <selection activeCell="P14" sqref="P14"/>
    </sheetView>
  </sheetViews>
  <sheetFormatPr defaultRowHeight="14.4" x14ac:dyDescent="0.3"/>
  <cols>
    <col min="1" max="1" width="17.6640625" customWidth="1"/>
    <col min="2" max="2" width="20.4414062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7" width="17.6640625" customWidth="1"/>
    <col min="9" max="9" width="11" customWidth="1"/>
    <col min="10" max="10" width="10.44140625" customWidth="1"/>
    <col min="11" max="11" width="10.21875" customWidth="1"/>
    <col min="12" max="12" width="10.33203125" customWidth="1"/>
    <col min="14" max="14" width="11.5546875" bestFit="1" customWidth="1"/>
    <col min="15" max="15" width="10" bestFit="1" customWidth="1"/>
  </cols>
  <sheetData>
    <row r="1" spans="1:15" ht="15.6" thickTop="1" thickBot="1" x14ac:dyDescent="0.35">
      <c r="A1" s="35" t="s">
        <v>0</v>
      </c>
      <c r="B1" s="36" t="s">
        <v>2</v>
      </c>
      <c r="C1" s="36" t="s">
        <v>4</v>
      </c>
      <c r="D1" s="36" t="s">
        <v>3</v>
      </c>
      <c r="E1" s="37" t="s">
        <v>5</v>
      </c>
      <c r="F1" s="38" t="s">
        <v>17</v>
      </c>
      <c r="G1" s="38" t="s">
        <v>18</v>
      </c>
    </row>
    <row r="2" spans="1:15" ht="16.2" thickTop="1" x14ac:dyDescent="0.3">
      <c r="A2" s="1" t="s">
        <v>1</v>
      </c>
      <c r="B2" s="2">
        <v>1</v>
      </c>
      <c r="C2" s="2">
        <v>0</v>
      </c>
      <c r="D2" s="2">
        <v>1</v>
      </c>
      <c r="E2" s="10">
        <f>B2+C2+D2</f>
        <v>2</v>
      </c>
      <c r="F2" s="39">
        <v>40</v>
      </c>
      <c r="G2" s="7">
        <f>E2*F2</f>
        <v>80</v>
      </c>
    </row>
    <row r="3" spans="1:15" x14ac:dyDescent="0.3">
      <c r="A3" s="3" t="s">
        <v>6</v>
      </c>
      <c r="B3" s="4">
        <v>3</v>
      </c>
      <c r="C3" s="4">
        <v>5</v>
      </c>
      <c r="D3" s="4">
        <v>6</v>
      </c>
      <c r="E3" s="11">
        <f>B3+C3+D3</f>
        <v>14</v>
      </c>
      <c r="F3" s="8">
        <v>315</v>
      </c>
      <c r="G3" s="8">
        <f t="shared" ref="G3:G6" si="0">E3*F3</f>
        <v>4410</v>
      </c>
    </row>
    <row r="4" spans="1:15" ht="15" thickBot="1" x14ac:dyDescent="0.35">
      <c r="A4" s="3" t="s">
        <v>7</v>
      </c>
      <c r="B4" s="4">
        <v>1</v>
      </c>
      <c r="C4" s="4">
        <v>1</v>
      </c>
      <c r="D4" s="4">
        <v>2</v>
      </c>
      <c r="E4" s="11">
        <f t="shared" ref="E4:E6" si="1">B4+C4+D4</f>
        <v>4</v>
      </c>
      <c r="F4" s="8">
        <v>3075</v>
      </c>
      <c r="G4" s="8">
        <f t="shared" si="0"/>
        <v>12300</v>
      </c>
    </row>
    <row r="5" spans="1:15" ht="15.6" thickTop="1" thickBot="1" x14ac:dyDescent="0.35">
      <c r="A5" s="3" t="s">
        <v>8</v>
      </c>
      <c r="B5" s="4">
        <v>2</v>
      </c>
      <c r="C5" s="4">
        <v>0</v>
      </c>
      <c r="D5" s="4">
        <v>1</v>
      </c>
      <c r="E5" s="11">
        <f t="shared" si="1"/>
        <v>3</v>
      </c>
      <c r="F5" s="8">
        <v>79</v>
      </c>
      <c r="G5" s="8">
        <f t="shared" si="0"/>
        <v>237</v>
      </c>
      <c r="J5" s="42" t="s">
        <v>31</v>
      </c>
      <c r="K5" s="43"/>
    </row>
    <row r="6" spans="1:15" ht="15" thickTop="1" x14ac:dyDescent="0.3">
      <c r="A6" s="3" t="s">
        <v>40</v>
      </c>
      <c r="B6" s="4">
        <v>1</v>
      </c>
      <c r="C6" s="4">
        <v>0</v>
      </c>
      <c r="D6" s="4">
        <v>0</v>
      </c>
      <c r="E6" s="29">
        <f t="shared" si="1"/>
        <v>1</v>
      </c>
      <c r="F6" s="34">
        <v>200</v>
      </c>
      <c r="G6" s="8">
        <f t="shared" si="0"/>
        <v>200</v>
      </c>
      <c r="J6" s="3" t="s">
        <v>32</v>
      </c>
      <c r="K6" s="30">
        <v>10000</v>
      </c>
      <c r="L6" s="15"/>
    </row>
    <row r="7" spans="1:15" x14ac:dyDescent="0.3">
      <c r="A7" s="3" t="s">
        <v>9</v>
      </c>
      <c r="B7" s="4">
        <v>4</v>
      </c>
      <c r="C7" s="4">
        <v>0</v>
      </c>
      <c r="D7" s="4">
        <v>7</v>
      </c>
      <c r="E7" s="11">
        <f t="shared" ref="E7:E8" si="2">B7+C7+D7</f>
        <v>11</v>
      </c>
      <c r="F7" s="8">
        <v>1050</v>
      </c>
      <c r="G7" s="8">
        <f t="shared" ref="G7:G8" si="3">E7*F7</f>
        <v>11550</v>
      </c>
      <c r="J7" s="3" t="s">
        <v>33</v>
      </c>
      <c r="K7" s="30">
        <v>10000</v>
      </c>
      <c r="L7" s="15"/>
    </row>
    <row r="8" spans="1:15" x14ac:dyDescent="0.3">
      <c r="A8" s="3" t="s">
        <v>10</v>
      </c>
      <c r="B8" s="4">
        <v>14</v>
      </c>
      <c r="C8" s="4">
        <v>12</v>
      </c>
      <c r="D8" s="4">
        <v>11</v>
      </c>
      <c r="E8" s="11">
        <f t="shared" si="2"/>
        <v>37</v>
      </c>
      <c r="F8" s="8">
        <v>1570</v>
      </c>
      <c r="G8" s="8">
        <f t="shared" si="3"/>
        <v>58090</v>
      </c>
      <c r="J8" s="3" t="s">
        <v>34</v>
      </c>
      <c r="K8" s="30">
        <v>10000</v>
      </c>
      <c r="L8" s="15"/>
    </row>
    <row r="9" spans="1:15" x14ac:dyDescent="0.3">
      <c r="A9" s="3" t="s">
        <v>42</v>
      </c>
      <c r="B9" s="4">
        <v>0</v>
      </c>
      <c r="C9" s="4">
        <v>0</v>
      </c>
      <c r="D9" s="4">
        <v>2</v>
      </c>
      <c r="E9" s="29">
        <v>2</v>
      </c>
      <c r="F9" s="41">
        <v>500</v>
      </c>
      <c r="G9" s="34">
        <v>1000</v>
      </c>
      <c r="J9" s="3"/>
      <c r="K9" s="29"/>
      <c r="N9" s="9"/>
      <c r="O9" s="9"/>
    </row>
    <row r="10" spans="1:15" ht="15" thickBot="1" x14ac:dyDescent="0.35">
      <c r="A10" s="3" t="s">
        <v>11</v>
      </c>
      <c r="B10" s="4">
        <v>0</v>
      </c>
      <c r="C10" s="4">
        <v>0</v>
      </c>
      <c r="D10" s="4">
        <v>2</v>
      </c>
      <c r="E10" s="11">
        <f t="shared" ref="E10:E17" si="4">B10+C10+D10</f>
        <v>2</v>
      </c>
      <c r="F10" s="8">
        <v>750</v>
      </c>
      <c r="G10" s="8">
        <f t="shared" ref="G10:G17" si="5">E10*F10</f>
        <v>1500</v>
      </c>
      <c r="J10" s="32" t="s">
        <v>38</v>
      </c>
      <c r="K10" s="31">
        <f>K6+K7+K8</f>
        <v>30000</v>
      </c>
      <c r="N10" s="9"/>
    </row>
    <row r="11" spans="1:15" ht="15" thickTop="1" x14ac:dyDescent="0.3">
      <c r="A11" s="3" t="s">
        <v>12</v>
      </c>
      <c r="B11" s="4">
        <v>1</v>
      </c>
      <c r="C11" s="4">
        <v>0</v>
      </c>
      <c r="D11" s="4">
        <v>0</v>
      </c>
      <c r="E11" s="11">
        <f t="shared" si="4"/>
        <v>1</v>
      </c>
      <c r="F11" s="8">
        <v>52680</v>
      </c>
      <c r="G11" s="8">
        <f t="shared" si="5"/>
        <v>52680</v>
      </c>
    </row>
    <row r="12" spans="1:15" x14ac:dyDescent="0.3">
      <c r="A12" s="3" t="s">
        <v>12</v>
      </c>
      <c r="B12" s="4">
        <v>0</v>
      </c>
      <c r="C12" s="4">
        <v>1</v>
      </c>
      <c r="D12" s="4">
        <v>0</v>
      </c>
      <c r="E12" s="11">
        <f t="shared" si="4"/>
        <v>1</v>
      </c>
      <c r="F12" s="8">
        <v>52680</v>
      </c>
      <c r="G12" s="8">
        <f t="shared" si="5"/>
        <v>52680</v>
      </c>
    </row>
    <row r="13" spans="1:15" x14ac:dyDescent="0.3">
      <c r="A13" s="3" t="s">
        <v>35</v>
      </c>
      <c r="B13" s="4">
        <v>0</v>
      </c>
      <c r="C13" s="4">
        <v>0</v>
      </c>
      <c r="D13" s="4">
        <v>1</v>
      </c>
      <c r="E13" s="17">
        <f t="shared" si="4"/>
        <v>1</v>
      </c>
      <c r="F13" s="8">
        <v>52680</v>
      </c>
      <c r="G13" s="8">
        <f t="shared" si="5"/>
        <v>52680</v>
      </c>
    </row>
    <row r="14" spans="1:15" x14ac:dyDescent="0.3">
      <c r="A14" s="3" t="s">
        <v>13</v>
      </c>
      <c r="B14" s="4">
        <v>3</v>
      </c>
      <c r="C14" s="4">
        <v>6</v>
      </c>
      <c r="D14" s="4">
        <v>2</v>
      </c>
      <c r="E14" s="11">
        <f t="shared" si="4"/>
        <v>11</v>
      </c>
      <c r="F14" s="8">
        <v>510</v>
      </c>
      <c r="G14" s="8">
        <f t="shared" si="5"/>
        <v>5610</v>
      </c>
    </row>
    <row r="15" spans="1:15" x14ac:dyDescent="0.3">
      <c r="A15" s="3" t="s">
        <v>14</v>
      </c>
      <c r="B15" s="4">
        <v>0</v>
      </c>
      <c r="C15" s="4">
        <v>2</v>
      </c>
      <c r="D15" s="4">
        <v>1</v>
      </c>
      <c r="E15" s="11">
        <f t="shared" si="4"/>
        <v>3</v>
      </c>
      <c r="F15" s="18">
        <v>369</v>
      </c>
      <c r="G15" s="8">
        <f t="shared" si="5"/>
        <v>1107</v>
      </c>
    </row>
    <row r="16" spans="1:15" ht="15.6" x14ac:dyDescent="0.3">
      <c r="A16" s="5" t="s">
        <v>15</v>
      </c>
      <c r="B16" s="4">
        <v>1</v>
      </c>
      <c r="C16" s="4">
        <v>2</v>
      </c>
      <c r="D16" s="4">
        <v>0</v>
      </c>
      <c r="E16" s="11">
        <f t="shared" si="4"/>
        <v>3</v>
      </c>
      <c r="F16" s="8">
        <v>2500</v>
      </c>
      <c r="G16" s="8">
        <f t="shared" si="5"/>
        <v>7500</v>
      </c>
    </row>
    <row r="17" spans="1:12" ht="15" thickBot="1" x14ac:dyDescent="0.35">
      <c r="A17" s="3" t="s">
        <v>16</v>
      </c>
      <c r="B17" s="4">
        <v>0</v>
      </c>
      <c r="C17" s="4">
        <v>1</v>
      </c>
      <c r="D17" s="4">
        <v>1</v>
      </c>
      <c r="E17" s="11">
        <f t="shared" si="4"/>
        <v>2</v>
      </c>
      <c r="F17" s="8">
        <v>650</v>
      </c>
      <c r="G17" s="8">
        <f t="shared" si="5"/>
        <v>1300</v>
      </c>
    </row>
    <row r="18" spans="1:12" ht="14.4" customHeight="1" thickTop="1" thickBot="1" x14ac:dyDescent="0.35">
      <c r="A18" s="3" t="s">
        <v>19</v>
      </c>
      <c r="B18" s="12" t="s">
        <v>25</v>
      </c>
      <c r="C18" s="12" t="s">
        <v>26</v>
      </c>
      <c r="D18" s="12" t="s">
        <v>24</v>
      </c>
      <c r="E18" s="13" t="s">
        <v>20</v>
      </c>
      <c r="F18" s="6">
        <v>2</v>
      </c>
      <c r="G18" s="14">
        <v>3000</v>
      </c>
      <c r="J18" s="44" t="s">
        <v>39</v>
      </c>
      <c r="K18" s="45"/>
      <c r="L18" s="33">
        <f>G2+G3+G4+G5+G7+G8+G10+G11+G12+G13+G14+G15+G16+G17+G18+G19+G20+G21+K10+G6+G9</f>
        <v>333932</v>
      </c>
    </row>
    <row r="19" spans="1:12" ht="15" thickTop="1" x14ac:dyDescent="0.3">
      <c r="A19" s="3" t="s">
        <v>21</v>
      </c>
      <c r="B19" s="12" t="s">
        <v>22</v>
      </c>
      <c r="C19" s="12" t="s">
        <v>23</v>
      </c>
      <c r="D19" s="12" t="s">
        <v>23</v>
      </c>
      <c r="E19" s="16" t="s">
        <v>41</v>
      </c>
      <c r="F19" s="6">
        <v>6</v>
      </c>
      <c r="G19" s="8">
        <v>3000</v>
      </c>
    </row>
    <row r="20" spans="1:12" x14ac:dyDescent="0.3">
      <c r="A20" s="19" t="s">
        <v>30</v>
      </c>
      <c r="B20" s="20" t="s">
        <v>29</v>
      </c>
      <c r="C20" s="20"/>
      <c r="D20" s="20" t="s">
        <v>28</v>
      </c>
      <c r="E20" s="21" t="s">
        <v>27</v>
      </c>
      <c r="F20" s="22">
        <v>17</v>
      </c>
      <c r="G20" s="23">
        <v>3400</v>
      </c>
    </row>
    <row r="21" spans="1:12" ht="15" thickBot="1" x14ac:dyDescent="0.35">
      <c r="A21" s="24" t="s">
        <v>36</v>
      </c>
      <c r="B21" s="40"/>
      <c r="C21" s="40"/>
      <c r="D21" s="25"/>
      <c r="E21" s="26" t="s">
        <v>37</v>
      </c>
      <c r="F21" s="27">
        <v>2634</v>
      </c>
      <c r="G21" s="28">
        <v>31608</v>
      </c>
    </row>
    <row r="22" spans="1:12" ht="15" thickTop="1" x14ac:dyDescent="0.3">
      <c r="I22" s="9"/>
    </row>
    <row r="23" spans="1:12" x14ac:dyDescent="0.3">
      <c r="G23" s="9"/>
    </row>
    <row r="24" spans="1:12" x14ac:dyDescent="0.3">
      <c r="F24" s="9"/>
      <c r="G24" s="9"/>
    </row>
  </sheetData>
  <mergeCells count="2">
    <mergeCell ref="J5:K5"/>
    <mergeCell ref="J18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2026-01-26T16:09:08Z</dcterms:created>
  <dcterms:modified xsi:type="dcterms:W3CDTF">2026-03-01T21:49:42Z</dcterms:modified>
</cp:coreProperties>
</file>